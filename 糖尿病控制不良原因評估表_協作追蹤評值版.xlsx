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1c5f65095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評估表單" sheetId="1" r:id="Rd1d5820b2871462c"/>
    <x:sheet xmlns:r="http://schemas.openxmlformats.org/officeDocument/2006/relationships" name="選項清單" sheetId="2" r:id="R506b6f0e3c0f486b"/>
    <x:sheet xmlns:r="http://schemas.openxmlformats.org/officeDocument/2006/relationships" name="使用說明" sheetId="3" r:id="Rfd2ae314d9574e64"/>
    <x:sheet xmlns:r="http://schemas.openxmlformats.org/officeDocument/2006/relationships" name="協作追蹤與評值" sheetId="4" r:id="R8974e26b2008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sz val="14"/>
      <x:name val="Carlito"/>
    </x:font>
    <x:font>
      <x:b/>
      <x:sz val="14"/>
      <x:color rgb="FFFFFFFF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2933"/>
      <x:name val="Carlito"/>
    </x:font>
    <x:font>
      <x:i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1155CC"/>
      </x:patternFill>
    </x:fill>
    <x:fill>
      <x:patternFill patternType="solid">
        <x:fgColor rgb="FFCFE2F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0B5ED7"/>
      </x:patternFill>
    </x:fill>
    <x:fill>
      <x:patternFill patternType="solid">
        <x:fgColor rgb="FFD9EAD3"/>
      </x:patternFill>
    </x:fill>
    <x:fill>
      <x:patternFill patternType="solid">
        <x:fgColor rgb="FF107C6F"/>
      </x:patternFill>
    </x:fill>
    <x:fill>
      <x:patternFill patternType="solid">
        <x:fgColor rgb="FFD9EAF7"/>
      </x:patternFill>
    </x:fill>
    <x:fill>
      <x:patternFill patternType="solid">
        <x:fgColor rgb="FFEAF4FF"/>
      </x:patternFill>
    </x:fill>
    <x:fill>
      <x:patternFill patternType="solid">
        <x:fgColor rgb="FFF3F6F8"/>
      </x:patternFill>
    </x:fill>
  </x:fills>
  <x:borders count="3">
    <x:border/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2" xfId="0" applyNumberFormat="1" applyFont="1" applyFill="1" applyBorder="1"/>
    <x:xf numFmtId="0" fontId="0" fillId="0" borderId="2" xfId="0" applyNumberFormat="1" applyFont="1" applyFill="1" applyBorder="1"/>
    <x:xf numFmtId="0" fontId="2" fillId="6" borderId="2" xfId="0" applyNumberFormat="1" applyFont="1" applyFill="1" applyBorder="1"/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7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left"/>
    </x:xf>
    <x:xf numFmtId="0" fontId="3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2" xfId="0" applyNumberFormat="1" applyFont="1" applyFill="1" applyBorder="1"/>
    <x:xf numFmtId="0" fontId="2" fillId="1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7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2" fillId="10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top" wrapText="1"/>
    </x:xf>
    <x:xf numFmtId="0" fontId="2" fillId="8" borderId="2" xfId="0" applyNumberFormat="1" applyFont="1" applyFill="1" applyBorder="1" applyAlignment="1">
      <x:alignment horizontal="center" vertical="center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top" wrapText="1"/>
    </x:xf>
    <x:xf numFmtId="200" fontId="0" fillId="8" borderId="2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9" fillId="1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8" borderId="2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2" fillId="13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2" fontId="2" fillId="13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2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1ed7b629c4c13" /><Relationship Type="http://schemas.openxmlformats.org/officeDocument/2006/relationships/theme" Target="/xl/theme/theme1.xml" Id="R1710c8a9f9c44ed6" /><Relationship Type="http://schemas.openxmlformats.org/officeDocument/2006/relationships/sharedStrings" Target="/xl/sharedStrings.xml" Id="R819158cb4c7e4b9f" /><Relationship Type="http://schemas.openxmlformats.org/officeDocument/2006/relationships/worksheet" Target="/xl/worksheets/sheet1.xml" Id="Rd1d5820b2871462c" /><Relationship Type="http://schemas.openxmlformats.org/officeDocument/2006/relationships/worksheet" Target="/xl/worksheets/sheet2.xml" Id="R506b6f0e3c0f486b" /><Relationship Type="http://schemas.openxmlformats.org/officeDocument/2006/relationships/worksheet" Target="/xl/worksheets/sheet3.xml" Id="Rfd2ae314d9574e64" /><Relationship Type="http://schemas.openxmlformats.org/officeDocument/2006/relationships/worksheet" Target="/xl/worksheets/sheet4.xml" Id="R8974e26b200840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6" hidden="0" customWidth="1"/>
    <x:col min="4" max="4" width="14" hidden="0" customWidth="1"/>
    <x:col min="5" max="5" width="48" hidden="0" customWidth="1"/>
    <x:col min="6" max="6" width="34" hidden="0" customWidth="1"/>
    <x:col min="7" max="7" width="16" hidden="0" customWidth="1"/>
    <x:col min="8" max="8" width="24" hidden="0" customWidth="1"/>
  </x:cols>
  <x:sheetData>
    <x:row r="1" ht="28" customHeight="1">
      <x:c r="A1" s="5" t="str">
        <x:v>糖尿病控制不良原因評估表</x:v>
      </x:c>
      <x:c r="B1" t="str">
        <x:v>糖尿病控制不良原因評估表</x:v>
      </x:c>
      <x:c r="C1" t="str">
        <x:v>糖尿病控制不良原因評估表</x:v>
      </x:c>
      <x:c r="D1" t="str">
        <x:v>糖尿病控制不良原因評估表</x:v>
      </x:c>
      <x:c r="E1" t="str">
        <x:v>糖尿病控制不良原因評估表</x:v>
      </x:c>
      <x:c r="F1" t="str">
        <x:v>糖尿病控制不良原因評估表</x:v>
      </x:c>
      <x:c r="G1" t="str">
        <x:v>糖尿病控制不良原因評估表</x:v>
      </x:c>
      <x:c r="H1" t="str">
        <x:v>糖尿病控制不良原因評估表</x:v>
      </x:c>
    </x:row>
    <x:row r="3">
      <x:c r="A3" s="13" t="str">
        <x:v>病人姓名</x:v>
      </x:c>
      <x:c r="B3" s="18" t="str"/>
      <x:c r="C3" s="13" t="str">
        <x:v>病歷號</x:v>
      </x:c>
      <x:c r="D3" s="18" t="str"/>
      <x:c r="E3" s="13" t="str">
        <x:v>評估時間</x:v>
      </x:c>
      <x:c r="F3" s="18" t="str"/>
      <x:c r="G3" s="13" t="str">
        <x:v>評估人員</x:v>
      </x:c>
      <x:c r="H3" s="18" t="str"/>
    </x:row>
    <x:row r="4">
      <x:c r="A4" s="13" t="str">
        <x:v>糖尿病類型</x:v>
      </x:c>
      <x:c r="B4" s="18" t="str"/>
      <x:c r="C4" s="13" t="str">
        <x:v>最近 HbA1c</x:v>
      </x:c>
      <x:c r="D4" s="18" t="str"/>
      <x:c r="E4" s="13" t="str">
        <x:v>目前治療方式</x:v>
      </x:c>
      <x:c r="F4" s="18" t="str"/>
      <x:c r="G4" s="13" t="str">
        <x:v>主要問題</x:v>
      </x:c>
      <x:c r="H4" s="18" t="str"/>
    </x:row>
    <x:row r="6" ht="22" customHeight="1">
      <x:c r="A6" s="23" t="str">
        <x:v>常見控制不良原因檢核（可複選）</x:v>
      </x:c>
      <x:c r="B6" t="str"/>
      <x:c r="C6" t="str"/>
      <x:c r="D6" t="str"/>
      <x:c r="E6" t="str"/>
      <x:c r="F6" t="str"/>
      <x:c r="G6" t="str"/>
      <x:c r="H6" t="str"/>
    </x:row>
    <x:row r="7" ht="24" customHeight="1">
      <x:c r="A7" s="32" t="str">
        <x:v>勾選</x:v>
      </x:c>
      <x:c r="B7" s="32" t="str">
        <x:v>編號</x:v>
      </x:c>
      <x:c r="C7" s="32" t="str">
        <x:v>常見原因</x:v>
      </x:c>
      <x:c r="D7" s="32" t="str">
        <x:v>是否存在</x:v>
      </x:c>
      <x:c r="E7" s="32" t="str">
        <x:v>評估重點</x:v>
      </x:c>
      <x:c r="F7" s="32" t="str">
        <x:v>個案說明／改善計畫</x:v>
      </x:c>
      <x:c r="G7" s="32" t="str">
        <x:v>完成狀態</x:v>
      </x:c>
      <x:c r="H7" s="32" t="str">
        <x:v>備註</x:v>
      </x:c>
    </x:row>
    <x:row r="8" ht="48" customHeight="1">
      <x:c r="A8" s="44" t="str">
        <x:v>☐</x:v>
      </x:c>
      <x:c r="B8" s="49" t="n">
        <x:v>1</x:v>
      </x:c>
      <x:c r="C8" s="39" t="str">
        <x:v>藥物順從性不佳</x:v>
      </x:c>
      <x:c r="D8" s="39" t="str"/>
      <x:c r="E8" s="39" t="str">
        <x:v>是否忘記服藥、漏藥、自行停藥或減量；是否因副作用、藥費、認知不足而未規則用藥</x:v>
      </x:c>
      <x:c r="F8" s="39" t="str"/>
      <x:c r="G8" s="39" t="str"/>
      <x:c r="H8" s="39" t="str"/>
    </x:row>
    <x:row r="9" ht="48" customHeight="1">
      <x:c r="A9" s="44" t="str">
        <x:v>☐</x:v>
      </x:c>
      <x:c r="B9" s="49" t="n">
        <x:v>2</x:v>
      </x:c>
      <x:c r="C9" s="39" t="str">
        <x:v>飲食控制不佳</x:v>
      </x:c>
      <x:c r="D9" s="39" t="str"/>
      <x:c r="E9" s="39" t="str">
        <x:v>白飯、麵、粥、麵包、水果、含糖飲料、宵夜、外食、點心攝取是否過多</x:v>
      </x:c>
      <x:c r="F9" s="39" t="str"/>
      <x:c r="G9" s="39" t="str"/>
      <x:c r="H9" s="39" t="str"/>
    </x:row>
    <x:row r="10" ht="48" customHeight="1">
      <x:c r="A10" s="44" t="str">
        <x:v>☐</x:v>
      </x:c>
      <x:c r="B10" s="49" t="n">
        <x:v>3</x:v>
      </x:c>
      <x:c r="C10" s="39" t="str">
        <x:v>運動量不足或久坐</x:v>
      </x:c>
      <x:c r="D10" s="39" t="str"/>
      <x:c r="E10" s="39" t="str">
        <x:v>每週運動次數、飯後活動量、久坐時間；是否有關節痛、心肺功能或肌少症限制</x:v>
      </x:c>
      <x:c r="F10" s="39" t="str"/>
      <x:c r="G10" s="39" t="str"/>
      <x:c r="H10" s="39" t="str"/>
    </x:row>
    <x:row r="11" ht="48" customHeight="1">
      <x:c r="A11" s="44" t="str">
        <x:v>☐</x:v>
      </x:c>
      <x:c r="B11" s="49" t="n">
        <x:v>4</x:v>
      </x:c>
      <x:c r="C11" s="39" t="str">
        <x:v>藥物劑量或處方強度不足</x:v>
      </x:c>
      <x:c r="D11" s="39" t="str"/>
      <x:c r="E11" s="39" t="str">
        <x:v>HbA1c 未達標是否及時調藥；是否有治療惰性；是否需要加藥、換藥或開始胰島素</x:v>
      </x:c>
      <x:c r="F11" s="39" t="str"/>
      <x:c r="G11" s="39" t="str"/>
      <x:c r="H11" s="39" t="str"/>
    </x:row>
    <x:row r="12" ht="48" customHeight="1">
      <x:c r="A12" s="44" t="str">
        <x:v>☐</x:v>
      </x:c>
      <x:c r="B12" s="49" t="n">
        <x:v>5</x:v>
      </x:c>
      <x:c r="C12" s="39" t="str">
        <x:v>胰島素使用問題</x:v>
      </x:c>
      <x:c r="D12" s="39" t="str"/>
      <x:c r="E12" s="39" t="str">
        <x:v>是否漏打、不敢調劑量、注射技術錯誤、保存不當、針頭重複使用、注射部位脂肪增生</x:v>
      </x:c>
      <x:c r="F12" s="39" t="str"/>
      <x:c r="G12" s="39" t="str"/>
      <x:c r="H12" s="39" t="str"/>
    </x:row>
    <x:row r="13" ht="48" customHeight="1">
      <x:c r="A13" s="44" t="str">
        <x:v>☐</x:v>
      </x:c>
      <x:c r="B13" s="49" t="n">
        <x:v>6</x:v>
      </x:c>
      <x:c r="C13" s="39" t="str">
        <x:v>血糖監測不足或資料誤判</x:v>
      </x:c>
      <x:c r="D13" s="39" t="str"/>
      <x:c r="E13" s="39" t="str">
        <x:v>是否很少量血糖；是否只量空腹、不量飯後；是否有 SMBG／CGM 資料可供調整治療</x:v>
      </x:c>
      <x:c r="F13" s="39" t="str"/>
      <x:c r="G13" s="39" t="str"/>
      <x:c r="H13" s="39" t="str"/>
    </x:row>
    <x:row r="14" ht="48" customHeight="1">
      <x:c r="A14" s="44" t="str">
        <x:v>☐</x:v>
      </x:c>
      <x:c r="B14" s="49" t="n">
        <x:v>7</x:v>
      </x:c>
      <x:c r="C14" s="39" t="str">
        <x:v>低血糖恐懼導致減藥或過度補食</x:v>
      </x:c>
      <x:c r="D14" s="39" t="str"/>
      <x:c r="E14" s="39" t="str">
        <x:v>是否曾發生低血糖、夜間低血糖；是否因害怕低血糖而刻意吃多或讓血糖偏高</x:v>
      </x:c>
      <x:c r="F14" s="39" t="str"/>
      <x:c r="G14" s="39" t="str"/>
      <x:c r="H14" s="39" t="str"/>
    </x:row>
    <x:row r="15" ht="48" customHeight="1">
      <x:c r="A15" s="44" t="str">
        <x:v>☐</x:v>
      </x:c>
      <x:c r="B15" s="49" t="n">
        <x:v>8</x:v>
      </x:c>
      <x:c r="C15" s="39" t="str">
        <x:v>急性感染或身體壓力</x:v>
      </x:c>
      <x:c r="D15" s="39" t="str"/>
      <x:c r="E15" s="39" t="str">
        <x:v>是否有泌尿道感染、肺炎、牙周病、足部感染、手術、急性疾病、疼痛、失眠或壓力</x:v>
      </x:c>
      <x:c r="F15" s="39" t="str"/>
      <x:c r="G15" s="39" t="str"/>
      <x:c r="H15" s="39" t="str"/>
    </x:row>
    <x:row r="16" ht="48" customHeight="1">
      <x:c r="A16" s="44" t="str">
        <x:v>☐</x:v>
      </x:c>
      <x:c r="B16" s="49" t="n">
        <x:v>9</x:v>
      </x:c>
      <x:c r="C16" s="39" t="str">
        <x:v>影響血糖的藥物或共病</x:v>
      </x:c>
      <x:c r="D16" s="39" t="str"/>
      <x:c r="E16" s="39" t="str">
        <x:v>是否使用類固醇、免疫抑制劑、部分精神科藥物；是否合併 CKD、肝病、心衰竭、甲狀腺疾病</x:v>
      </x:c>
      <x:c r="F16" s="39" t="str"/>
      <x:c r="G16" s="39" t="str"/>
      <x:c r="H16" s="39" t="str"/>
    </x:row>
    <x:row r="17" ht="48" customHeight="1">
      <x:c r="A17" s="44" t="str">
        <x:v>☐</x:v>
      </x:c>
      <x:c r="B17" s="49" t="n">
        <x:v>10</x:v>
      </x:c>
      <x:c r="C17" s="39" t="str">
        <x:v>心理、社會與照護障礙</x:v>
      </x:c>
      <x:c r="D17" s="39" t="str"/>
      <x:c r="E17" s="39" t="str">
        <x:v>是否有憂鬱、糖尿病倦怠、健康識能不足、家庭支持不足、經濟困難、交通困難或回診中斷</x:v>
      </x:c>
      <x:c r="F17" s="39" t="str"/>
      <x:c r="G17" s="39" t="str"/>
      <x:c r="H17" s="39" t="str"/>
    </x:row>
    <x:row r="19" ht="22" customHeight="1">
      <x:c r="A19" s="23" t="str">
        <x:v>改善措施與追蹤</x:v>
      </x:c>
      <x:c r="B19" t="str"/>
      <x:c r="C19" t="str"/>
      <x:c r="D19" t="str"/>
      <x:c r="E19" t="str"/>
      <x:c r="F19" t="str"/>
      <x:c r="G19" t="str"/>
      <x:c r="H19" t="str"/>
    </x:row>
    <x:row r="20" ht="24" customHeight="1">
      <x:c r="A20" s="32" t="str">
        <x:v>改善項目</x:v>
      </x:c>
      <x:c r="B20" s="32" t="str">
        <x:v>具體措施</x:v>
      </x:c>
      <x:c r="C20" s="32" t="str">
        <x:v>負責人員</x:v>
      </x:c>
      <x:c r="D20" s="32" t="str">
        <x:v>預定完成／追蹤時間</x:v>
      </x:c>
      <x:c r="E20" s="32" t="str">
        <x:v>完成狀態</x:v>
      </x:c>
      <x:c r="F20" s="32" t="str">
        <x:v>備註</x:v>
      </x:c>
    </x:row>
    <x:row r="21" ht="36" customHeight="1">
      <x:c r="A21" s="39" t="str">
        <x:v>藥物調整</x:v>
      </x:c>
      <x:c r="B21" s="39" t="str"/>
      <x:c r="C21" s="61" t="str"/>
      <x:c r="D21" s="61" t="str"/>
      <x:c r="E21" s="61" t="str"/>
      <x:c r="F21" s="39" t="str"/>
    </x:row>
    <x:row r="22" ht="36" customHeight="1">
      <x:c r="A22" s="39" t="str">
        <x:v>飲食衛教</x:v>
      </x:c>
      <x:c r="B22" s="39" t="str"/>
      <x:c r="C22" s="61" t="str"/>
      <x:c r="D22" s="61" t="str"/>
      <x:c r="E22" s="61" t="str"/>
      <x:c r="F22" s="39" t="str"/>
    </x:row>
    <x:row r="23" ht="36" customHeight="1">
      <x:c r="A23" s="39" t="str">
        <x:v>運動建議</x:v>
      </x:c>
      <x:c r="B23" s="39" t="str"/>
      <x:c r="C23" s="61" t="str"/>
      <x:c r="D23" s="61" t="str"/>
      <x:c r="E23" s="61" t="str"/>
      <x:c r="F23" s="39" t="str"/>
    </x:row>
    <x:row r="24" ht="36" customHeight="1">
      <x:c r="A24" s="39" t="str">
        <x:v>血糖監測計畫</x:v>
      </x:c>
      <x:c r="B24" s="39" t="str"/>
      <x:c r="C24" s="61" t="str"/>
      <x:c r="D24" s="61" t="str"/>
      <x:c r="E24" s="61" t="str"/>
      <x:c r="F24" s="39" t="str"/>
    </x:row>
    <x:row r="25" ht="36" customHeight="1">
      <x:c r="A25" s="39" t="str">
        <x:v>胰島素注射衛教</x:v>
      </x:c>
      <x:c r="B25" s="39" t="str"/>
      <x:c r="C25" s="61" t="str"/>
      <x:c r="D25" s="61" t="str"/>
      <x:c r="E25" s="61" t="str"/>
      <x:c r="F25" s="39" t="str"/>
    </x:row>
    <x:row r="26" ht="36" customHeight="1">
      <x:c r="A26" s="39" t="str">
        <x:v>低血糖處理衛教</x:v>
      </x:c>
      <x:c r="B26" s="39" t="str"/>
      <x:c r="C26" s="61" t="str"/>
      <x:c r="D26" s="61" t="str"/>
      <x:c r="E26" s="61" t="str"/>
      <x:c r="F26" s="39" t="str"/>
    </x:row>
    <x:row r="27" ht="36" customHeight="1">
      <x:c r="A27" s="39" t="str">
        <x:v>感染／共病處理</x:v>
      </x:c>
      <x:c r="B27" s="39" t="str"/>
      <x:c r="C27" s="61" t="str"/>
      <x:c r="D27" s="61" t="str"/>
      <x:c r="E27" s="61" t="str"/>
      <x:c r="F27" s="39" t="str"/>
    </x:row>
    <x:row r="28" ht="36" customHeight="1">
      <x:c r="A28" s="39" t="str">
        <x:v>心理社會支持</x:v>
      </x:c>
      <x:c r="B28" s="39" t="str"/>
      <x:c r="C28" s="61" t="str"/>
      <x:c r="D28" s="61" t="str"/>
      <x:c r="E28" s="61" t="str"/>
      <x:c r="F28" s="39" t="str"/>
    </x:row>
    <x:row r="29" ht="36" customHeight="1">
      <x:c r="A29" s="39" t="str">
        <x:v>其他</x:v>
      </x:c>
      <x:c r="B29" s="39" t="str"/>
      <x:c r="C29" s="61" t="str"/>
      <x:c r="D29" s="61" t="str"/>
      <x:c r="E29" s="61" t="str"/>
      <x:c r="F29" s="39" t="str"/>
    </x:row>
    <x:row r="31">
      <x:c r="A31" s="67" t="str">
        <x:v>跨職類協作提醒</x:v>
      </x:c>
      <x:c r="B31" s="67"/>
      <x:c r="C31" s="67"/>
      <x:c r="D31" s="67"/>
      <x:c r="E31" s="67"/>
      <x:c r="F31" s="67"/>
      <x:c r="G31" s="67"/>
      <x:c r="H31" s="67"/>
    </x:row>
    <x:row r="32" ht="34" customHeight="1">
      <x:c r="A32" s="73" t="str">
        <x:v>衛教師／營養師分工</x:v>
      </x:c>
      <x:c r="B32" s="73"/>
      <x:c r="C32" s="74" t="str">
        <x:v>衛教師聚焦用藥、血糖監測、低血糖處理與自我照護；營養師聚焦餐次、醣量、外食、點心、飲料與執行可行性。</x:v>
      </x:c>
      <x:c r="D32" s="74"/>
      <x:c r="E32" s="74"/>
      <x:c r="F32" s="74"/>
      <x:c r="G32" s="74"/>
      <x:c r="H32" s="74"/>
    </x:row>
    <x:row r="33" ht="34" customHeight="1">
      <x:c r="A33" s="73" t="str">
        <x:v>共同產出與追蹤</x:v>
      </x:c>
      <x:c r="B33" s="73"/>
      <x:c r="C33" s="74" t="str">
        <x:v>請將整合後的改善建議、本次評估日期、後續評估日期、追蹤方式、血糖/HbA1c 變化、改變情況、醫師評論與下一步調整填入「協作追蹤與評值」分頁。</x:v>
      </x:c>
      <x:c r="D33" s="74"/>
      <x:c r="E33" s="74"/>
      <x:c r="F33" s="74"/>
      <x:c r="G33" s="74"/>
      <x:c r="H33" s="74"/>
    </x:row>
    <x:row r="34" ht="34" customHeight="1">
      <x:c r="A34" s="73" t="str">
        <x:v>考核結果</x:v>
      </x:c>
      <x:c r="B34" s="73"/>
      <x:c r="C34" s="74" t="str">
        <x:v>評值系統總分：&gt;=85 明顯改善、70-84 部分改善、60-69 需加強、&lt;60 需重新評估。</x:v>
      </x:c>
      <x:c r="D34" s="74"/>
      <x:c r="E34" s="74"/>
      <x:c r="F34" s="74"/>
      <x:c r="G34" s="74"/>
      <x:c r="H34" s="74"/>
    </x:row>
  </x:sheetData>
  <x:mergeCells>
    <x:mergeCell ref="A1:H1"/>
    <x:mergeCell ref="A6:H6"/>
    <x:mergeCell ref="A19:H19"/>
    <x:mergeCell ref="A31:H31"/>
    <x:mergeCell ref="A32:B32"/>
    <x:mergeCell ref="C32:H32"/>
    <x:mergeCell ref="A33:B33"/>
    <x:mergeCell ref="C33:H33"/>
    <x:mergeCell ref="A34:B34"/>
    <x:mergeCell ref="C34:H34"/>
  </x:mergeCells>
  <x:dataValidations count="5">
    <x:dataValidation type="list" sqref="A8:A17">
      <x:formula1>選項清單!$A$8:$A$9</x:formula1>
    </x:dataValidation>
    <x:dataValidation type="list" sqref="D8:D17">
      <x:formula1>"是,否,不確定,不適用"</x:formula1>
    </x:dataValidation>
    <x:dataValidation type="list" sqref="G8:G17">
      <x:formula1>"未開始,進行中,已完成,暫緩／取消"</x:formula1>
    </x:dataValidation>
    <x:dataValidation type="list" sqref="E21:E29">
      <x:formula1>"未開始,進行中,已完成,暫緩／取消"</x:formula1>
    </x:dataValidation>
    <x:dataValidation type="list" sqref="C21:C29">
      <x:formula1>"衛教師,營養師,醫師,藥師,個案管理師,病人／家屬,社工／心理師,其他"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4399995803833" hidden="0" customWidth="1"/>
    <x:col min="2" max="2" width="10.4399995803833" hidden="0" customWidth="1"/>
    <x:col min="3" max="3" width="10.4399995803833" hidden="0" customWidth="1"/>
    <x:col min="4" max="4" width="10.4399995803833" hidden="0" customWidth="1"/>
    <x:col min="5" max="5" width="7.110000133514404" hidden="0" customWidth="1"/>
    <x:col min="6" max="6" width="10.4399995803833" hidden="0" customWidth="1"/>
  </x:cols>
  <x:sheetData>
    <x:row r="1">
      <x:c r="A1" s="58" t="str">
        <x:v>是否存在選項</x:v>
      </x:c>
      <x:c r="B1" s="58" t="str">
        <x:v>負責角色選項</x:v>
      </x:c>
      <x:c r="C1" s="58" t="str">
        <x:v>追蹤方式選項</x:v>
      </x:c>
      <x:c r="D1" s="58" t="str">
        <x:v>達成情形選項</x:v>
      </x:c>
      <x:c r="E1" s="58" t="str">
        <x:v>評分選項</x:v>
      </x:c>
      <x:c r="F1" s="58" t="str">
        <x:v>改變情況選項</x:v>
      </x:c>
    </x:row>
    <x:row r="2">
      <x:c r="A2" s="59" t="str">
        <x:v>是</x:v>
      </x:c>
      <x:c r="B2" s="59" t="str">
        <x:v>衛教師</x:v>
      </x:c>
      <x:c r="C2" s="59" t="str">
        <x:v>門診</x:v>
      </x:c>
      <x:c r="D2" s="59" t="str">
        <x:v>達成</x:v>
      </x:c>
      <x:c r="E2" s="59" t="n">
        <x:v>0</x:v>
      </x:c>
      <x:c r="F2" s="59" t="str">
        <x:v>明顯改善</x:v>
      </x:c>
    </x:row>
    <x:row r="3">
      <x:c r="A3" s="59" t="str">
        <x:v>否</x:v>
      </x:c>
      <x:c r="B3" s="59" t="str">
        <x:v>營養師</x:v>
      </x:c>
      <x:c r="C3" s="59" t="str">
        <x:v>電話</x:v>
      </x:c>
      <x:c r="D3" s="59" t="str">
        <x:v>部分達成</x:v>
      </x:c>
      <x:c r="E3" s="59" t="n">
        <x:v>1</x:v>
      </x:c>
      <x:c r="F3" s="59" t="str">
        <x:v>部分改善</x:v>
      </x:c>
    </x:row>
    <x:row r="4">
      <x:c r="A4" s="59" t="str">
        <x:v>不確定</x:v>
      </x:c>
      <x:c r="B4" s="59" t="str">
        <x:v>醫師</x:v>
      </x:c>
      <x:c r="C4" s="59" t="str">
        <x:v>視訊</x:v>
      </x:c>
      <x:c r="D4" s="59" t="str">
        <x:v>未達成</x:v>
      </x:c>
      <x:c r="E4" s="59" t="n">
        <x:v>2</x:v>
      </x:c>
      <x:c r="F4" s="59" t="str">
        <x:v>無明顯改變</x:v>
      </x:c>
    </x:row>
    <x:row r="5">
      <x:c r="A5" s="59" t="str">
        <x:v>不適用</x:v>
      </x:c>
      <x:c r="B5" s="59" t="str">
        <x:v>藥師</x:v>
      </x:c>
      <x:c r="C5" s="59" t="str">
        <x:v>LINE／簡訊</x:v>
      </x:c>
      <x:c r="D5" s="59" t="str">
        <x:v>需調整目標</x:v>
      </x:c>
      <x:c r="E5" s="59" t="n">
        <x:v>3</x:v>
      </x:c>
      <x:c r="F5" s="59" t="str">
        <x:v>惡化</x:v>
      </x:c>
    </x:row>
    <x:row r="6">
      <x:c r="A6" s="59" t="str"/>
      <x:c r="B6" s="59" t="str">
        <x:v>個案管理師</x:v>
      </x:c>
      <x:c r="C6" s="59" t="str">
        <x:v>居家紀錄回傳</x:v>
      </x:c>
      <x:c r="D6" s="59" t="str">
        <x:v>失聯／未追蹤</x:v>
      </x:c>
      <x:c r="E6" s="59" t="n">
        <x:v>4</x:v>
      </x:c>
      <x:c r="F6" s="59" t="str">
        <x:v>資料不足</x:v>
      </x:c>
    </x:row>
    <x:row r="7">
      <x:c r="A7" s="60" t="str">
        <x:v>勾選選項</x:v>
      </x:c>
      <x:c r="B7" s="59" t="str">
        <x:v>病人／家屬</x:v>
      </x:c>
      <x:c r="C7" s="59"/>
      <x:c r="D7" s="59"/>
      <x:c r="E7" s="59" t="n">
        <x:v>5</x:v>
      </x:c>
      <x:c r="F7" s="59" t="str">
        <x:v>需重新評估</x:v>
      </x:c>
    </x:row>
    <x:row r="8">
      <x:c r="A8" s="59" t="str">
        <x:v>☐</x:v>
      </x:c>
      <x:c r="B8" s="59" t="str">
        <x:v>社工／心理師</x:v>
      </x:c>
      <x:c r="C8" s="59"/>
      <x:c r="D8" s="59"/>
      <x:c r="E8" s="59"/>
      <x:c r="F8" s="59"/>
    </x:row>
    <x:row r="9">
      <x:c r="A9" s="59" t="str">
        <x:v>☑</x:v>
      </x:c>
      <x:c r="B9" s="59" t="str">
        <x:v>其他</x:v>
      </x:c>
      <x:c r="C9" s="59"/>
      <x:c r="D9" s="59"/>
      <x:c r="E9" s="59"/>
      <x:c r="F9" s="59"/>
    </x:row>
    <x:row r="10">
      <x:c r="A10" s="59" t="str"/>
      <x:c r="B10" s="59"/>
      <x:c r="C10" s="59"/>
      <x:c r="D10" s="59"/>
      <x:c r="E10" s="59"/>
      <x:c r="F10" s="59"/>
    </x:row>
    <x:row r="11">
      <x:c r="A11" s="60" t="str">
        <x:v>完成狀態選項</x:v>
      </x:c>
      <x:c r="B11" s="59"/>
      <x:c r="C11" s="59"/>
      <x:c r="D11" s="59"/>
      <x:c r="E11" s="59"/>
      <x:c r="F11" s="59"/>
    </x:row>
    <x:row r="12">
      <x:c r="A12" s="59" t="str">
        <x:v>未開始</x:v>
      </x:c>
      <x:c r="B12" s="59"/>
      <x:c r="C12" s="59"/>
      <x:c r="D12" s="59"/>
      <x:c r="E12" s="59"/>
      <x:c r="F12" s="59"/>
    </x:row>
    <x:row r="13">
      <x:c r="A13" s="59" t="str">
        <x:v>進行中</x:v>
      </x:c>
      <x:c r="B13" s="59"/>
      <x:c r="C13" s="59"/>
      <x:c r="D13" s="59"/>
      <x:c r="E13" s="59"/>
      <x:c r="F13" s="59"/>
    </x:row>
    <x:row r="14">
      <x:c r="A14" s="59" t="str">
        <x:v>已完成</x:v>
      </x:c>
      <x:c r="B14" s="59"/>
      <x:c r="C14" s="59"/>
      <x:c r="D14" s="59"/>
      <x:c r="E14" s="59"/>
      <x:c r="F14" s="59"/>
    </x:row>
    <x:row r="15">
      <x:c r="A15" s="59" t="str">
        <x:v>暫緩／取消</x:v>
      </x:c>
      <x:c r="B15" s="59"/>
      <x:c r="C15" s="59"/>
      <x:c r="D15" s="59"/>
      <x:c r="E15" s="59"/>
      <x:c r="F15" s="5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5.77999877929688" hidden="0" customWidth="1"/>
  </x:cols>
  <x:sheetData>
    <x:row r="1">
      <x:c r="A1" s="53" t="str">
        <x:v>使用說明</x:v>
      </x:c>
      <x:c r="B1" t="str"/>
      <x:c r="C1" t="str"/>
      <x:c r="D1" t="str"/>
    </x:row>
    <x:row r="3">
      <x:c r="A3" s="39" t="str">
        <x:v>1</x:v>
      </x:c>
      <x:c r="B3" s="39" t="str">
        <x:v>填寫病人姓名、病歷號、評估時間、評估人員。</x:v>
      </x:c>
      <x:c r="C3" s="39" t="str"/>
      <x:c r="D3" s="39" t="str"/>
    </x:row>
    <x:row r="4">
      <x:c r="A4" s="39" t="str">
        <x:v>2</x:v>
      </x:c>
      <x:c r="B4" s="39" t="str">
        <x:v>常見原因可在「勾選」欄選擇 ☐ 或 ☑，可多選。</x:v>
      </x:c>
      <x:c r="C4" s="39" t="str"/>
      <x:c r="D4" s="39" t="str"/>
    </x:row>
    <x:row r="5">
      <x:c r="A5" s="39" t="str">
        <x:v>3</x:v>
      </x:c>
      <x:c r="B5" s="39" t="str">
        <x:v>「完成狀態」欄為下拉選單，選項：未開始、進行中、已完成、暫緩／取消。</x:v>
      </x:c>
      <x:c r="C5" s="39" t="str"/>
      <x:c r="D5" s="39" t="str"/>
    </x:row>
    <x:row r="6">
      <x:c r="A6" s="39" t="str">
        <x:v>4</x:v>
      </x:c>
      <x:c r="B6" s="39" t="str">
        <x:v>若 Excel 未顯示下拉箭頭，請點選儲存格後再查看，或確認檔案非唯讀模式。</x:v>
      </x:c>
      <x:c r="C6" s="39" t="str"/>
      <x:c r="D6" s="39" t="str"/>
    </x:row>
    <x:row r="7">
      <x:c r="A7" s="39" t="str">
        <x:v>5</x:v>
      </x:c>
      <x:c r="B7" s="39" t="str">
        <x:v>含個資資料請依院內病歷與個資規範保存。</x:v>
      </x:c>
      <x:c r="C7" s="39" t="str"/>
      <x:c r="D7" s="39" t="str"/>
    </x:row>
    <x:row r="8">
      <x:c r="A8" s="114" t="str">
        <x:v>6</x:v>
      </x:c>
      <x:c r="B8" s="100" t="str">
        <x:v>衛教師與營養師可在「協作追蹤與評值」分頁分別填寫評估發現與改善建議，再整合為共同照護目標。</x:v>
      </x:c>
      <x:c r="C8" s="39" t="str"/>
      <x:c r="D8" s="39" t="str"/>
    </x:row>
    <x:row r="9">
      <x:c r="A9" s="115" t="str">
        <x:v>7</x:v>
      </x:c>
      <x:c r="B9" s="72" t="str">
        <x:v>追蹤紀錄請以同一病人每次評估一列填寫本次評估日期、後續評估日期、方式、血糖或 HbA1c、改變情況、達成情形、醫師評論與下一步調整。</x:v>
      </x:c>
    </x:row>
    <x:row r="10">
      <x:c r="A10" s="115" t="str">
        <x:v>8</x:v>
      </x:c>
      <x:c r="B10" s="72" t="str">
        <x:v>評值系統以 5 個面向加權計算總分，請依追蹤後改善情況填入 0-5 分。</x:v>
      </x:c>
    </x:row>
    <x:row r="11">
      <x:c r="A11" s="115" t="str">
        <x:v>9</x:v>
      </x:c>
      <x:c r="B11" s="72" t="str">
        <x:v>總分等第：A 明顯改善、B 部分改善、C 需加強、D 需重新評估。</x:v>
      </x:c>
    </x:row>
    <x:row r="12">
      <x:c r="A12" s="115" t="str">
        <x:v>10</x:v>
      </x:c>
      <x:c r="B12" s="72" t="str">
        <x:v>若需院內考核，可彙整多位病人的「總分」與「等第」做月報或品質改善指標。</x:v>
      </x:c>
    </x:row>
    <x:row r="13">
      <x:c r="A13" s="115" t="str">
        <x:v>11</x:v>
      </x:c>
      <x:c r="B13" s="72" t="str">
        <x:v>含個資資料請依院內病歷與個資規範保存。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28" hidden="0" customWidth="1"/>
    <x:col min="10" max="10" width="28" hidden="0" customWidth="1"/>
    <x:col min="11" max="11" width="16" hidden="0" customWidth="1"/>
  </x:cols>
  <x:sheetData>
    <x:row r="1" ht="30" customHeight="1">
      <x:c r="A1" s="80" t="str">
        <x:v>糖尿病控制不良跨職類協作、追蹤與評值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</x:row>
    <x:row r="3">
      <x:c r="A3" s="67" t="str">
        <x:v>基本資料與目標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</x:row>
    <x:row r="4">
      <x:c r="A4" s="84" t="str">
        <x:v>病人姓名</x:v>
      </x:c>
      <x:c r="B4" s="88" t="str">
        <x:f>IF('評估表單'!B3="","",'評估表單'!B3)</x:f>
      </x:c>
      <x:c r="C4" s="84" t="str">
        <x:v>病歷號</x:v>
      </x:c>
      <x:c r="D4" s="88" t="str">
        <x:f>IF('評估表單'!D3="","",'評估表單'!D3)</x:f>
      </x:c>
      <x:c r="E4" s="84" t="str">
        <x:v>初次評估日期</x:v>
      </x:c>
      <x:c r="F4" s="92" t="str">
        <x:f>IF('評估表單'!F3="","",'評估表單'!F3)</x:f>
      </x:c>
      <x:c r="G4" s="84" t="str">
        <x:v>評估人員</x:v>
      </x:c>
      <x:c r="H4" s="88" t="str">
        <x:f>IF('評估表單'!H3="","",'評估表單'!H3)</x:f>
      </x:c>
      <x:c r="I4" s="84" t="str">
        <x:v>預定後續評估日</x:v>
      </x:c>
      <x:c r="J4" s="92"/>
      <x:c r="K4"/>
    </x:row>
    <x:row r="5">
      <x:c r="A5" s="84" t="str">
        <x:v>基準 HbA1c(%)</x:v>
      </x:c>
      <x:c r="B5" s="88" t="str">
        <x:f>IF('評估表單'!D4="","",'評估表單'!D4)</x:f>
      </x:c>
      <x:c r="C5" s="84" t="str">
        <x:v>目標 HbA1c(%)</x:v>
      </x:c>
      <x:c r="D5" s="88"/>
      <x:c r="E5" s="84" t="str">
        <x:v>主要問題</x:v>
      </x:c>
      <x:c r="F5" s="88" t="str">
        <x:f>IF('評估表單'!H4="","",'評估表單'!H4)</x:f>
      </x:c>
      <x:c r="G5" s="84" t="str">
        <x:v>醫師初評</x:v>
      </x:c>
      <x:c r="H5" s="88"/>
      <x:c r="I5" s="91"/>
      <x:c r="J5" s="88"/>
      <x:c r="K5" s="88"/>
    </x:row>
    <x:row r="6">
      <x:c r="A6" s="91" t="str">
        <x:v>共同照護目標</x:v>
      </x:c>
      <x:c r="B6" s="88"/>
      <x:c r="C6" s="88"/>
      <x:c r="D6" s="88"/>
      <x:c r="E6" s="88"/>
      <x:c r="F6" s="88"/>
      <x:c r="G6" s="88"/>
      <x:c r="H6" s="88"/>
      <x:c r="I6" s="88"/>
      <x:c r="J6" s="88"/>
      <x:c r="K6" s="88"/>
    </x:row>
    <x:row r="8">
      <x:c r="A8" s="67" t="str">
        <x:v>協作分工與改善建議</x:v>
      </x:c>
      <x:c r="B8" s="67"/>
      <x:c r="C8" s="67"/>
      <x:c r="D8" s="67"/>
      <x:c r="E8" s="67"/>
      <x:c r="F8" s="67"/>
      <x:c r="G8" s="67"/>
      <x:c r="H8" s="67"/>
      <x:c r="I8" s="67"/>
      <x:c r="J8" s="67"/>
      <x:c r="K8" s="67"/>
    </x:row>
    <x:row r="9">
      <x:c r="A9" s="99" t="str">
        <x:v>職類</x:v>
      </x:c>
      <x:c r="B9" s="99" t="str">
        <x:v>人員</x:v>
      </x:c>
      <x:c r="C9" s="99" t="str">
        <x:v>評估重點</x:v>
      </x:c>
      <x:c r="D9" s="99" t="str">
        <x:v>主要發現</x:v>
      </x:c>
      <x:c r="E9" s="99" t="str">
        <x:v>改善建議</x:v>
      </x:c>
      <x:c r="F9" s="99" t="str">
        <x:v>負責項目</x:v>
      </x:c>
      <x:c r="G9" s="99" t="str">
        <x:v>完成狀態</x:v>
      </x:c>
      <x:c r="H9" s="99" t="str">
        <x:v>醫師評論</x:v>
      </x:c>
      <x:c r="I9" s="99" t="str">
        <x:v>後續評估日期</x:v>
      </x:c>
      <x:c r="J9" s="99" t="str">
        <x:v>改變情況</x:v>
      </x:c>
      <x:c r="K9" s="99" t="str">
        <x:v>備註</x:v>
      </x:c>
    </x:row>
    <x:row r="10" ht="58" customHeight="1">
      <x:c r="A10" s="100" t="str">
        <x:v>衛教師</x:v>
      </x:c>
      <x:c r="B10" s="88"/>
      <x:c r="C10" s="100" t="str">
        <x:v>用藥順從性、血糖監測、低血糖處理、自我照護能力</x:v>
      </x:c>
      <x:c r="D10" s="88"/>
      <x:c r="E10" s="88"/>
      <x:c r="F10" s="88"/>
      <x:c r="G10" s="88"/>
      <x:c r="H10" s="88"/>
      <x:c r="I10" s="92"/>
      <x:c r="J10" s="88"/>
      <x:c r="K10" s="88"/>
    </x:row>
    <x:row r="11" ht="58" customHeight="1">
      <x:c r="A11" s="100" t="str">
        <x:v>營養師</x:v>
      </x:c>
      <x:c r="B11" s="88"/>
      <x:c r="C11" s="100" t="str">
        <x:v>餐次、醣量、外食、含糖飲料、點心與飲食紀錄</x:v>
      </x:c>
      <x:c r="D11" s="88"/>
      <x:c r="E11" s="88"/>
      <x:c r="F11" s="88"/>
      <x:c r="G11" s="88"/>
      <x:c r="H11" s="88"/>
      <x:c r="I11" s="92"/>
      <x:c r="J11" s="88"/>
      <x:c r="K11" s="88"/>
    </x:row>
    <x:row r="12" ht="58" customHeight="1">
      <x:c r="A12" s="100" t="str">
        <x:v>醫師／藥師</x:v>
      </x:c>
      <x:c r="B12" s="88"/>
      <x:c r="C12" s="100" t="str">
        <x:v>治療強度、藥物副作用、共病與影響血糖藥物</x:v>
      </x:c>
      <x:c r="D12" s="88"/>
      <x:c r="E12" s="88"/>
      <x:c r="F12" s="88"/>
      <x:c r="G12" s="88"/>
      <x:c r="H12" s="88"/>
      <x:c r="I12" s="92"/>
      <x:c r="J12" s="88"/>
      <x:c r="K12" s="88"/>
    </x:row>
    <x:row r="13" ht="58" customHeight="1">
      <x:c r="A13" s="100" t="str">
        <x:v>個管師／其他</x:v>
      </x:c>
      <x:c r="B13" s="88"/>
      <x:c r="C13" s="100" t="str">
        <x:v>回診障礙、家庭支持、經濟與心理社會需求</x:v>
      </x:c>
      <x:c r="D13" s="88"/>
      <x:c r="E13" s="88"/>
      <x:c r="F13" s="88"/>
      <x:c r="G13" s="88"/>
      <x:c r="H13" s="88"/>
      <x:c r="I13" s="92"/>
      <x:c r="J13" s="88"/>
      <x:c r="K13" s="88"/>
    </x:row>
    <x:row r="15">
      <x:c r="A15" s="67" t="str">
        <x:v>追蹤紀錄</x:v>
      </x:c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</x:row>
    <x:row r="16">
      <x:c r="A16" s="99" t="str">
        <x:v>本次評估日期</x:v>
      </x:c>
      <x:c r="B16" s="99" t="str">
        <x:v>後續評估日期</x:v>
      </x:c>
      <x:c r="C16" s="99" t="str">
        <x:v>追蹤方式</x:v>
      </x:c>
      <x:c r="D16" s="99" t="str">
        <x:v>空腹血糖 (mg/dL)</x:v>
      </x:c>
      <x:c r="E16" s="99" t="str">
        <x:v>飯後血糖 (mg/dL)</x:v>
      </x:c>
      <x:c r="F16" s="99" t="str">
        <x:v>HbA1c (%)</x:v>
      </x:c>
      <x:c r="G16" s="99" t="str">
        <x:v>改變情況</x:v>
      </x:c>
      <x:c r="H16" s="99" t="str">
        <x:v>達成情形</x:v>
      </x:c>
      <x:c r="I16" s="99" t="str">
        <x:v>下一步調整</x:v>
      </x:c>
      <x:c r="J16" s="99" t="str">
        <x:v>醫師評論</x:v>
      </x:c>
      <x:c r="K16" s="99" t="str">
        <x:v>記錄者</x:v>
      </x:c>
    </x:row>
    <x:row r="17" ht="50" customHeight="1">
      <x:c r="A17" s="92"/>
      <x:c r="B17" s="92"/>
      <x:c r="C17" s="88"/>
      <x:c r="D17" s="101"/>
      <x:c r="E17" s="101"/>
      <x:c r="F17" s="101"/>
      <x:c r="G17" s="88"/>
      <x:c r="H17" s="88"/>
      <x:c r="I17" s="88"/>
      <x:c r="J17" s="88"/>
      <x:c r="K17" s="88"/>
    </x:row>
    <x:row r="18" ht="50" customHeight="1">
      <x:c r="A18" s="92"/>
      <x:c r="B18" s="92"/>
      <x:c r="C18" s="88"/>
      <x:c r="D18" s="101"/>
      <x:c r="E18" s="101"/>
      <x:c r="F18" s="101"/>
      <x:c r="G18" s="88"/>
      <x:c r="H18" s="88"/>
      <x:c r="I18" s="88"/>
      <x:c r="J18" s="88"/>
      <x:c r="K18" s="88"/>
    </x:row>
    <x:row r="19" ht="50" customHeight="1">
      <x:c r="A19" s="92"/>
      <x:c r="B19" s="92"/>
      <x:c r="C19" s="88"/>
      <x:c r="D19" s="101"/>
      <x:c r="E19" s="101"/>
      <x:c r="F19" s="101"/>
      <x:c r="G19" s="88"/>
      <x:c r="H19" s="88"/>
      <x:c r="I19" s="88"/>
      <x:c r="J19" s="88"/>
      <x:c r="K19" s="88"/>
    </x:row>
    <x:row r="20" ht="50" customHeight="1">
      <x:c r="A20" s="92"/>
      <x:c r="B20" s="92"/>
      <x:c r="C20" s="88"/>
      <x:c r="D20" s="101"/>
      <x:c r="E20" s="101"/>
      <x:c r="F20" s="101"/>
      <x:c r="G20" s="88"/>
      <x:c r="H20" s="88"/>
      <x:c r="I20" s="88"/>
      <x:c r="J20" s="88"/>
      <x:c r="K20" s="88"/>
    </x:row>
    <x:row r="21" ht="50" customHeight="1">
      <x:c r="A21" s="92"/>
      <x:c r="B21" s="92"/>
      <x:c r="C21" s="88"/>
      <x:c r="D21" s="101"/>
      <x:c r="E21" s="101"/>
      <x:c r="F21" s="101"/>
      <x:c r="G21" s="88"/>
      <x:c r="H21" s="88"/>
      <x:c r="I21" s="88"/>
      <x:c r="J21" s="88"/>
      <x:c r="K21" s="88"/>
    </x:row>
    <x:row r="22" ht="50" customHeight="1">
      <x:c r="A22" s="92"/>
      <x:c r="B22" s="92"/>
      <x:c r="C22" s="88"/>
      <x:c r="D22" s="101"/>
      <x:c r="E22" s="101"/>
      <x:c r="F22" s="101"/>
      <x:c r="G22" s="88"/>
      <x:c r="H22" s="88"/>
      <x:c r="I22" s="88"/>
      <x:c r="J22" s="88"/>
      <x:c r="K22" s="88"/>
    </x:row>
    <x:row r="23" ht="50" customHeight="1">
      <x:c r="A23" s="92"/>
      <x:c r="B23" s="92"/>
      <x:c r="C23" s="88"/>
      <x:c r="D23" s="101"/>
      <x:c r="E23" s="101"/>
      <x:c r="F23" s="101"/>
      <x:c r="G23" s="88"/>
      <x:c r="H23" s="88"/>
      <x:c r="I23" s="88"/>
      <x:c r="J23" s="88"/>
      <x:c r="K23" s="88"/>
    </x:row>
    <x:row r="24" ht="50" customHeight="1">
      <x:c r="A24" s="92"/>
      <x:c r="B24" s="92"/>
      <x:c r="C24" s="88"/>
      <x:c r="D24" s="101"/>
      <x:c r="E24" s="101"/>
      <x:c r="F24" s="101"/>
      <x:c r="G24" s="88"/>
      <x:c r="H24" s="88"/>
      <x:c r="I24" s="88"/>
      <x:c r="J24" s="88"/>
      <x:c r="K24" s="88"/>
    </x:row>
    <x:row r="26">
      <x:c r="A26" s="67" t="str">
        <x:v>評值系統</x:v>
      </x:c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</x:row>
    <x:row r="27">
      <x:c r="A27" s="99" t="str">
        <x:v>評值面向</x:v>
      </x:c>
      <x:c r="B27" s="99" t="str">
        <x:v>權重</x:v>
      </x:c>
      <x:c r="C27" s="99" t="str">
        <x:v>評分 (0-5)</x:v>
      </x:c>
      <x:c r="D27" s="99" t="str">
        <x:v>加權分數</x:v>
      </x:c>
      <x:c r="E27" s="99" t="str">
        <x:v>評分說明</x:v>
      </x:c>
      <x:c r="F27" s="99" t="str">
        <x:v>佐證／備註</x:v>
      </x:c>
      <x:c r="G27" s="99" t="str">
        <x:v>考核結果</x:v>
      </x:c>
      <x:c r="H27" s="99" t="str">
        <x:v>處置建議</x:v>
      </x:c>
    </x:row>
    <x:row r="28" ht="46" customHeight="1">
      <x:c r="A28" s="100" t="str">
        <x:v>血糖改善</x:v>
      </x:c>
      <x:c r="B28" s="104" t="n">
        <x:v>0.35</x:v>
      </x:c>
      <x:c r="C28" s="88"/>
      <x:c r="D28" s="106" t="str">
        <x:f>IF(C28="","",B28*C28/5*100)</x:f>
      </x:c>
      <x:c r="E28" s="100" t="str">
        <x:v>HbA1c、空腹/飯後血糖或 CGM 趨勢較基準改善</x:v>
      </x:c>
      <x:c r="F28" s="88"/>
      <x:c r="G28" s="100" t="str">
        <x:v>A 明顯改善</x:v>
      </x:c>
      <x:c r="H28" s="100" t="str">
        <x:v>維持計畫，延長追蹤間隔或轉為例行追蹤</x:v>
      </x:c>
    </x:row>
    <x:row r="29" ht="46" customHeight="1">
      <x:c r="A29" s="100" t="str">
        <x:v>行為改變</x:v>
      </x:c>
      <x:c r="B29" s="104" t="n">
        <x:v>0.25</x:v>
      </x:c>
      <x:c r="C29" s="88"/>
      <x:c r="D29" s="106" t="str">
        <x:f>IF(C29="","",B29*C29/5*100)</x:f>
      </x:c>
      <x:c r="E29" s="100" t="str">
        <x:v>飲食、用藥、運動與血糖監測計畫有具體執行</x:v>
      </x:c>
      <x:c r="F29" s="88"/>
      <x:c r="G29" s="100" t="str">
        <x:v>B 部分改善</x:v>
      </x:c>
      <x:c r="H29" s="100" t="str">
        <x:v>延續有效策略，針對未達成項目微調</x:v>
      </x:c>
    </x:row>
    <x:row r="30" ht="46" customHeight="1">
      <x:c r="A30" s="100" t="str">
        <x:v>追蹤完成</x:v>
      </x:c>
      <x:c r="B30" s="104" t="n">
        <x:v>0.15</x:v>
      </x:c>
      <x:c r="C30" s="88"/>
      <x:c r="D30" s="106" t="str">
        <x:f>IF(C30="","",B30*C30/5*100)</x:f>
      </x:c>
      <x:c r="E30" s="100" t="str">
        <x:v>依約完成回診或電話/線上追蹤，紀錄完整</x:v>
      </x:c>
      <x:c r="F30" s="88"/>
      <x:c r="G30" s="100" t="str">
        <x:v>C 需加強</x:v>
      </x:c>
      <x:c r="H30" s="100" t="str">
        <x:v>安排密集衛教/營養追蹤，確認障礙</x:v>
      </x:c>
    </x:row>
    <x:row r="31" ht="46" customHeight="1">
      <x:c r="A31" s="100" t="str">
        <x:v>跨職類協作</x:v>
      </x:c>
      <x:c r="B31" s="104" t="n">
        <x:v>0.15</x:v>
      </x:c>
      <x:c r="C31" s="88"/>
      <x:c r="D31" s="106" t="str">
        <x:f>IF(C31="","",B31*C31/5*100)</x:f>
      </x:c>
      <x:c r="E31" s="100" t="str">
        <x:v>衛教師與營養師完成共同評估並整合建議</x:v>
      </x:c>
      <x:c r="F31" s="88"/>
      <x:c r="G31" s="100" t="str">
        <x:v>D 需重新評估</x:v>
      </x:c>
      <x:c r="H31" s="100" t="str">
        <x:v>召開跨職類討論，重新設定目標與治療策略</x:v>
      </x:c>
    </x:row>
    <x:row r="32" ht="46" customHeight="1">
      <x:c r="A32" s="100" t="str">
        <x:v>病人自我管理</x:v>
      </x:c>
      <x:c r="B32" s="104" t="n">
        <x:v>0.1</x:v>
      </x:c>
      <x:c r="C32" s="88"/>
      <x:c r="D32" s="106" t="str">
        <x:f>IF(C32="","",B32*C32/5*100)</x:f>
      </x:c>
      <x:c r="E32" s="100" t="str">
        <x:v>病人能說明主要問題、改善策略與低血糖處理</x:v>
      </x:c>
      <x:c r="F32" s="88"/>
      <x:c r="G32" s="100"/>
      <x:c r="H32" s="100"/>
    </x:row>
    <x:row r="33">
      <x:c r="A33" s="103" t="str">
        <x:v>總分</x:v>
      </x:c>
      <x:c r="B33" s="105" t="n">
        <x:f>SUM(B28:B32)</x:f>
        <x:v>1</x:v>
      </x:c>
      <x:c r="C33" s="103"/>
      <x:c r="D33" s="107" t="str">
        <x:f>IF(COUNTA(C28:C32)=0,"",SUM(D28:D32))</x:f>
      </x:c>
      <x:c r="E33" s="103" t="str">
        <x:v>等第</x:v>
      </x:c>
      <x:c r="F33" s="103" t="str">
        <x:f>IF(D33="","",IFS(D33&gt;=85,"A 明顯改善",D33&gt;=70,"B 部分改善",D33&gt;=60,"C 需加強",TRUE,"D 需重新評估"))</x:f>
      </x:c>
      <x:c r="G33" s="100"/>
      <x:c r="H33" s="100"/>
    </x:row>
    <x:row r="35" ht="66" customHeight="1">
      <x:c r="A35" s="111" t="str">
        <x:v>評值原則：同一位病人可於追蹤紀錄每列填入不同「本次評估日期」與「後續評估日期」，用「改變情況」標示一段時間後的變化，並由醫師補充評論。評分 0=未執行或無資料、1=極少執行、2=部分執行但未穩定、3=達基本要求、4=多數目標達成、5=完全達成且可維持。</x:v>
      </x:c>
      <x:c r="B35" s="111"/>
      <x:c r="C35" s="111"/>
      <x:c r="D35" s="111"/>
      <x:c r="E35" s="111"/>
      <x:c r="F35" s="111"/>
      <x:c r="G35" s="111"/>
      <x:c r="H35" s="111"/>
      <x:c r="I35" s="111"/>
      <x:c r="J35" s="111"/>
      <x:c r="K35" s="111"/>
    </x:row>
  </x:sheetData>
  <x:mergeCells>
    <x:mergeCell ref="A1:K1"/>
    <x:mergeCell ref="A3:K3"/>
    <x:mergeCell ref="H5:K5"/>
    <x:mergeCell ref="A6:K6"/>
    <x:mergeCell ref="A8:K8"/>
    <x:mergeCell ref="A15:K15"/>
    <x:mergeCell ref="A26:K26"/>
    <x:mergeCell ref="A35:K35"/>
  </x:mergeCells>
  <x:dataValidations count="7">
    <x:dataValidation type="list" sqref="A10:A13">
      <x:formula1>"衛教師,營養師,醫師,藥師,個案管理師,病人／家屬,社工／心理師,其他"</x:formula1>
    </x:dataValidation>
    <x:dataValidation type="list" sqref="G10:G13">
      <x:formula1>"未開始,進行中,已完成,暫緩／取消"</x:formula1>
    </x:dataValidation>
    <x:dataValidation type="list" sqref="J10:J13">
      <x:formula1>"明顯改善,部分改善,無明顯改變,惡化,資料不足,需重新評估"</x:formula1>
    </x:dataValidation>
    <x:dataValidation type="list" sqref="C17:C24">
      <x:formula1>"門診,電話,視訊,LINE／簡訊,居家紀錄回傳"</x:formula1>
    </x:dataValidation>
    <x:dataValidation type="list" sqref="G17:G24">
      <x:formula1>"明顯改善,部分改善,無明顯改變,惡化,資料不足,需重新評估"</x:formula1>
    </x:dataValidation>
    <x:dataValidation type="list" sqref="H17:H24">
      <x:formula1>"達成,部分達成,未達成,需調整目標,失聯／未追蹤"</x:formula1>
    </x:dataValidation>
    <x:dataValidation type="list" sqref="C28:C32">
      <x:formula1>"0,1,2,3,4,5"</x:formula1>
    </x:dataValidation>
  </x:dataValidations>
  <x:pageMargins left="0.7" right="0.7" top="0.75" bottom="0.75" header="0.3" footer="0.3"/>
</x:worksheet>
</file>